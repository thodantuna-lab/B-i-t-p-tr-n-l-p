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DBC74F7D-8253-4837-A149-E4ED034445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2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<sst xmlns="http://schemas.openxmlformats.org/spreadsheetml/2006/main" count="51" uniqueCount="33">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</sst>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H10" sqref="H10"/>
    </sheetView>
  </sheetViews>
  <sheetFormatPr defaultRowHeight="15"/>
  <cols>
    <col min="4" max="4" width="17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>
        <v>1</v>
      </c>
      <c r="D2" t="str">
        <f>VLOOKUP(B2,VatPham!$A$1:$C$7,2,0)</f>
        <v>Ao Giap Vang</v>
      </c>
      <c r="E2">
        <f>VLOOKUP(B2,VatPham!$A$1:$C$7,3,0)</f>
        <v>250000</v>
      </c>
      <c r="F2">
        <f>C2*E2</f>
        <v>250000</v>
      </c>
    </row>
    <row r="3" spans="1:6" hidden="1">
      <c r="A3" t="s">
        <v>8</v>
      </c>
      <c r="B3" t="s">
        <v>9</v>
      </c>
      <c r="C3">
        <v>1</v>
      </c>
      <c r="D3" t="str">
        <f>VLOOKUP(B3,VatPham!$A$1:$C$7,2,0)</f>
        <v>Nhan Ma Thuat</v>
      </c>
      <c r="E3">
        <f>VLOOKUP(B3,VatPham!$A$1:$C$7,3,0)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VLOOKUP(B4,VatPham!$A$1:$C$7,2,0)</f>
        <v>Giay Toc Do</v>
      </c>
      <c r="E4">
        <f>VLOOKUP(B4,VatPham!$A$1:$C$7,3,0)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VLOOKUP(B5,VatPham!$A$1:$C$7,2,0)</f>
        <v>Nhan Ma Thuat</v>
      </c>
      <c r="E5">
        <f>VLOOKUP(B5,VatPham!$A$1:$C$7,3,0)</f>
        <v>99000</v>
      </c>
      <c r="F5">
        <f t="shared" si="0"/>
        <v>495000</v>
      </c>
    </row>
    <row r="6" spans="1:6" hidden="1">
      <c r="A6" t="s">
        <v>13</v>
      </c>
      <c r="B6" t="s">
        <v>14</v>
      </c>
      <c r="C6">
        <v>3</v>
      </c>
      <c r="D6" t="str">
        <f>VLOOKUP(B6,VatPham!$A$1:$C$7,2,0)</f>
        <v>Binh May</v>
      </c>
      <c r="E6">
        <f>VLOOKUP(B6,VatPham!$A$1:$C$7,3,0)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VLOOKUP(B7,VatPham!$A$1:$C$7,2,0)</f>
        <v>Nhan Ma Thuat</v>
      </c>
      <c r="E7">
        <f>VLOOKUP(B7,VatPham!$A$1:$C$7,3,0)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VLOOKUP(B8,VatPham!$A$1:$C$7,2,0)</f>
        <v>Giay Toc Do</v>
      </c>
      <c r="E8">
        <f>VLOOKUP(B8,VatPham!$A$1:$C$7,3,0)</f>
        <v>150000</v>
      </c>
      <c r="F8">
        <f t="shared" si="0"/>
        <v>900000</v>
      </c>
    </row>
    <row r="9" spans="1:6" hidden="1">
      <c r="A9" t="s">
        <v>17</v>
      </c>
      <c r="B9" t="s">
        <v>18</v>
      </c>
      <c r="C9">
        <v>1</v>
      </c>
      <c r="D9" t="str">
        <f>VLOOKUP(B9,VatPham!$A$1:$C$7,2,0)</f>
        <v>Khien Bang</v>
      </c>
      <c r="E9">
        <f>VLOOKUP(B9,VatPham!$A$1:$C$7,3,0)</f>
        <v>85000</v>
      </c>
      <c r="F9">
        <f t="shared" si="0"/>
        <v>85000</v>
      </c>
    </row>
    <row r="10" spans="1:6" hidden="1">
      <c r="A10" t="s">
        <v>19</v>
      </c>
      <c r="B10" t="s">
        <v>14</v>
      </c>
      <c r="C10">
        <v>2</v>
      </c>
      <c r="D10" t="str">
        <f>VLOOKUP(B10,VatPham!$A$1:$C$7,2,0)</f>
        <v>Binh May</v>
      </c>
      <c r="E10">
        <f>VLOOKUP(B10,VatPham!$A$1:$C$7,3,0)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VLOOKUP(B11,VatPham!$A$1:$C$7,2,0)</f>
        <v>Ao Giap Vang</v>
      </c>
      <c r="E11">
        <f>VLOOKUP(B11,VatPham!$A$1:$C$7,3,0)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VLOOKUP(B12,VatPham!$A$1:$C$7,2,0)</f>
        <v>Giay Toc Do</v>
      </c>
      <c r="E12">
        <f>VLOOKUP(B12,VatPham!$A$1:$C$7,3,0)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VLOOKUP(B13,VatPham!$A$1:$C$7,2,0)</f>
        <v>Ao Giap Vang</v>
      </c>
      <c r="E13">
        <f>VLOOKUP(B13,VatPham!$A$1:$C$7,3,0)</f>
        <v>250000</v>
      </c>
      <c r="F13">
        <f t="shared" si="0"/>
        <v>500000</v>
      </c>
    </row>
    <row r="14" spans="1:6" hidden="1">
      <c r="A14" t="s">
        <v>23</v>
      </c>
      <c r="B14" t="s">
        <v>24</v>
      </c>
      <c r="C14">
        <v>1</v>
      </c>
      <c r="D14" t="str">
        <f>VLOOKUP(B14,VatPham!$A$1:$C$7,2,0)</f>
        <v>Kiem Rong</v>
      </c>
      <c r="E14">
        <f>VLOOKUP(B14,VatPham!$A$1:$C$7,3,0)</f>
        <v>120000</v>
      </c>
      <c r="F14">
        <f t="shared" si="0"/>
        <v>120000</v>
      </c>
    </row>
    <row r="15" spans="1:6" hidden="1">
      <c r="A15" t="s">
        <v>25</v>
      </c>
      <c r="B15" t="s">
        <v>24</v>
      </c>
      <c r="C15">
        <v>2</v>
      </c>
      <c r="D15" t="str">
        <f>VLOOKUP(B15,VatPham!$A$1:$C$7,2,0)</f>
        <v>Kiem Rong</v>
      </c>
      <c r="E15">
        <f>VLOOKUP(B15,VatPham!$A$1:$C$7,3,0)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VLOOKUP(B16,VatPham!$A$1:$C$7,2,0)</f>
        <v>Ao Giap Vang</v>
      </c>
      <c r="E16">
        <f>VLOOKUP(B16,VatPham!$A$1:$C$7,3,0)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F17" sqref="F17"/>
    </sheetView>
  </sheetViews>
  <sheetFormatPr defaultRowHeight="15"/>
  <sheetData>
    <row r="1" spans="1:4">
      <c r="A1" t="s">
        <v>1</v>
      </c>
      <c r="B1" t="s">
        <v>3</v>
      </c>
      <c r="C1" t="s">
        <v>4</v>
      </c>
    </row>
    <row r="2" spans="1:4">
      <c r="A2" t="s">
        <v>24</v>
      </c>
      <c r="B2" t="s">
        <v>27</v>
      </c>
      <c r="C2">
        <v>120000</v>
      </c>
      <c r="D2" t="e">
        <f>VLOOKUP(B2,,2,0)</f>
        <v>#N/A</v>
      </c>
    </row>
    <row r="3" spans="1:4">
      <c r="A3" t="s">
        <v>18</v>
      </c>
      <c r="B3" t="s">
        <v>28</v>
      </c>
      <c r="C3">
        <v>85000</v>
      </c>
    </row>
    <row r="4" spans="1:4">
      <c r="A4" t="s">
        <v>14</v>
      </c>
      <c r="B4" t="s">
        <v>29</v>
      </c>
      <c r="C4">
        <v>20000</v>
      </c>
    </row>
    <row r="5" spans="1:4">
      <c r="A5" t="s">
        <v>11</v>
      </c>
      <c r="B5" t="s">
        <v>30</v>
      </c>
      <c r="C5">
        <v>150000</v>
      </c>
    </row>
    <row r="6" spans="1:4">
      <c r="A6" t="s">
        <v>7</v>
      </c>
      <c r="B6" t="s">
        <v>31</v>
      </c>
      <c r="C6">
        <v>250000</v>
      </c>
    </row>
    <row r="7" spans="1:4">
      <c r="A7" t="s">
        <v>9</v>
      </c>
      <c r="B7" t="s">
        <v>32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2026-10-26T03:25:49Z</dcterms:created>
  <dcterms:modified xsi:type="dcterms:W3CDTF">2026-10-26T07:03:34Z</dcterms:modified>
  <cp:category/>
  <cp:contentStatus/>
</cp:coreProperties>
</file>